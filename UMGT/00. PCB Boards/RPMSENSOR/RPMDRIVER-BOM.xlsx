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a_haick_technion_ac_il/Documents/Desktop/"/>
    </mc:Choice>
  </mc:AlternateContent>
  <xr:revisionPtr revIDLastSave="1" documentId="11_844977ADF8ECC7664DC52A1442792943C713F4DF" xr6:coauthVersionLast="47" xr6:coauthVersionMax="47" xr10:uidLastSave="{93261131-C7B2-4694-864B-53F12B2E402B}"/>
  <bookViews>
    <workbookView xWindow="-120" yWindow="-120" windowWidth="29040" windowHeight="15720" tabRatio="500" xr2:uid="{00000000-000D-0000-FFFF-FFFF00000000}"/>
  </bookViews>
  <sheets>
    <sheet name="BOM" sheetId="1" r:id="rId1"/>
    <sheet name="Board inf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1" l="1"/>
  <c r="F12" i="1"/>
</calcChain>
</file>

<file path=xl/sharedStrings.xml><?xml version="1.0" encoding="utf-8"?>
<sst xmlns="http://schemas.openxmlformats.org/spreadsheetml/2006/main" count="82" uniqueCount="71">
  <si>
    <t>Ref</t>
  </si>
  <si>
    <t>Value</t>
  </si>
  <si>
    <t>Package / footprint (measured from Gerbers)</t>
  </si>
  <si>
    <t>Manufacturer</t>
  </si>
  <si>
    <t>Manufacturer part no.</t>
  </si>
  <si>
    <t>Qty per board</t>
  </si>
  <si>
    <t>Qty to order</t>
  </si>
  <si>
    <t>Notes</t>
  </si>
  <si>
    <t>U3</t>
  </si>
  <si>
    <t>LM339</t>
  </si>
  <si>
    <t>SOIC-14, 1.27mm pitch, 3.9mm body</t>
  </si>
  <si>
    <t>Texas Instruments</t>
  </si>
  <si>
    <t>LM339DR</t>
  </si>
  <si>
    <t>Quad comparator, open-collector out. Input common-mode range excludes top ~1.5V below V+.</t>
  </si>
  <si>
    <t>R1</t>
  </si>
  <si>
    <t>2k</t>
  </si>
  <si>
    <t>0805 (pads 1.20x1.40mm, 2.00mm centres)</t>
  </si>
  <si>
    <t>Yageo</t>
  </si>
  <si>
    <t>RC0805FR-072KL</t>
  </si>
  <si>
    <t>Pull-down on sensor input at U3 pin 5. 1%, 1/8W.</t>
  </si>
  <si>
    <t>R2</t>
  </si>
  <si>
    <t>1M</t>
  </si>
  <si>
    <t>RC0805FR-071ML</t>
  </si>
  <si>
    <t>Pull-up on open-collector output. Consider 10k (RC0805FR-0710KL) instead.</t>
  </si>
  <si>
    <t>C1</t>
  </si>
  <si>
    <t>1nF</t>
  </si>
  <si>
    <t>1206 (pads 1.15x1.80mm, 2.95mm centres)</t>
  </si>
  <si>
    <t>Samsung</t>
  </si>
  <si>
    <t>CL31B102KBCNNNC</t>
  </si>
  <si>
    <t>Filter on sensor input. 50V X7R; C0G preferred if available.</t>
  </si>
  <si>
    <t>C2</t>
  </si>
  <si>
    <t>100nF</t>
  </si>
  <si>
    <t>CL31B104KBCNNNC</t>
  </si>
  <si>
    <t>Supply decoupling at U3. 50V X7R.</t>
  </si>
  <si>
    <t>RV1</t>
  </si>
  <si>
    <t>10k</t>
  </si>
  <si>
    <t>Multiturn trimmer, 9.77x5.07mm body, 3 pins in-line 2.54mm, 0.8mm drill</t>
  </si>
  <si>
    <t>Bourns</t>
  </si>
  <si>
    <t>3296W-1-103LF</t>
  </si>
  <si>
    <t>Full divider across 5V/GND, wiper sets threshold. Any value gives 2.5V mid-travel; 10k draws 0.5mA.</t>
  </si>
  <si>
    <t>J1, J3</t>
  </si>
  <si>
    <t>-</t>
  </si>
  <si>
    <t>3-pin header 2.54mm, 1.02mm drill, oval pads 2.03x1.73mm, body 7.80x6.05mm</t>
  </si>
  <si>
    <t>Molex</t>
  </si>
  <si>
    <t>22-27-2031</t>
  </si>
  <si>
    <t>KK-254 friction-lock vertical header. A plain 1x3 2.54mm pin header also fits the holes.</t>
  </si>
  <si>
    <t>Mating housing for J1/J3</t>
  </si>
  <si>
    <t>KK-254 3-circuit crimp housing, one per cable end.</t>
  </si>
  <si>
    <t>Crimp terminal for housing</t>
  </si>
  <si>
    <t>08-50-0114</t>
  </si>
  <si>
    <t>KK-254 female crimp terminal, 3 per housing.</t>
  </si>
  <si>
    <t>Total lines to order:</t>
  </si>
  <si>
    <t>Item</t>
  </si>
  <si>
    <t>Detail</t>
  </si>
  <si>
    <t>Project</t>
  </si>
  <si>
    <t>RPMDRIVER (KiCad 8.0.8, gerbers dated 2026-05-20)</t>
  </si>
  <si>
    <t>Board outline</t>
  </si>
  <si>
    <t>73.10 x 14.88 mm, 2 layers, no vias</t>
  </si>
  <si>
    <t>Drill sizes</t>
  </si>
  <si>
    <t>0.80 mm (RV1), 1.02 mm (J1, J3) - both plated</t>
  </si>
  <si>
    <t>Nets</t>
  </si>
  <si>
    <t>GND, +5V, sensor (J3.3 -&gt; U3.5), threshold (RV1.2 -&gt; U3.4), SIG (U3.2 -&gt; R2 -&gt; J1.1)</t>
  </si>
  <si>
    <t>Unused</t>
  </si>
  <si>
    <t>U3 pins 1, 6, 7, 8, 9, 10, 11, 13, 14 are N/C - three comparators unconnected</t>
  </si>
  <si>
    <t>Source of values</t>
  </si>
  <si>
    <t>R1, R2, C1, C2 values come from the schematic, not from the gerbers</t>
  </si>
  <si>
    <t>Source of packages</t>
  </si>
  <si>
    <t>Measured from pad apertures, drill file and silkscreen outlines</t>
  </si>
  <si>
    <t>Open item</t>
  </si>
  <si>
    <t>J3 has no ground pin: pins 1 and 2 are both on +5V, pin 3 is the sensor signal</t>
  </si>
  <si>
    <t>Pad net tags disagree with trace net tags at J3 - PCB rerouted, schematic not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</si>
</sst>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vertical="top" wrapText="1"/>
    </xf>
    <xf numFmtId="14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30" zoomScaleNormal="130" workbookViewId="0">
      <pane ySplit="1" topLeftCell="A2" activePane="bottomLeft" state="frozen"/>
      <selection pane="bottomLeft" activeCell="F10" sqref="F10"/>
    </sheetView>
  </sheetViews>
  <sheetFormatPr defaultColWidth="8.7109375" defaultRowHeight="15" x14ac:dyDescent="0.25"/>
  <cols>
    <col min="1" max="1" width="10" customWidth="1"/>
    <col min="2" max="2" width="9" customWidth="1"/>
    <col min="3" max="3" width="42" customWidth="1"/>
    <col min="4" max="4" width="18" customWidth="1"/>
    <col min="5" max="5" width="22" customWidth="1"/>
    <col min="6" max="7" width="9" customWidth="1"/>
    <col min="8" max="8" width="52" customWidth="1"/>
  </cols>
  <sheetData>
    <row r="1" spans="1:8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1</v>
      </c>
      <c r="G2" s="3">
        <v>2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>
        <v>1</v>
      </c>
      <c r="G3" s="3">
        <v>10</v>
      </c>
      <c r="H3" s="2" t="s">
        <v>19</v>
      </c>
    </row>
    <row r="4" spans="1:8" ht="25.5" x14ac:dyDescent="0.25">
      <c r="A4" s="2" t="s">
        <v>20</v>
      </c>
      <c r="B4" s="2" t="s">
        <v>21</v>
      </c>
      <c r="C4" s="2" t="s">
        <v>16</v>
      </c>
      <c r="D4" s="2" t="s">
        <v>17</v>
      </c>
      <c r="E4" s="2" t="s">
        <v>22</v>
      </c>
      <c r="F4" s="3">
        <v>1</v>
      </c>
      <c r="G4" s="3">
        <v>10</v>
      </c>
      <c r="H4" s="2" t="s">
        <v>23</v>
      </c>
    </row>
    <row r="5" spans="1:8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3">
        <v>1</v>
      </c>
      <c r="G5" s="3">
        <v>10</v>
      </c>
      <c r="H5" s="2" t="s">
        <v>29</v>
      </c>
    </row>
    <row r="6" spans="1:8" x14ac:dyDescent="0.25">
      <c r="A6" s="2" t="s">
        <v>30</v>
      </c>
      <c r="B6" s="2" t="s">
        <v>31</v>
      </c>
      <c r="C6" s="2" t="s">
        <v>26</v>
      </c>
      <c r="D6" s="2" t="s">
        <v>27</v>
      </c>
      <c r="E6" s="2" t="s">
        <v>32</v>
      </c>
      <c r="F6" s="3">
        <v>1</v>
      </c>
      <c r="G6" s="3">
        <v>10</v>
      </c>
      <c r="H6" s="2" t="s">
        <v>33</v>
      </c>
    </row>
    <row r="7" spans="1:8" ht="25.5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3">
        <v>1</v>
      </c>
      <c r="G7" s="3">
        <v>2</v>
      </c>
      <c r="H7" s="2" t="s">
        <v>39</v>
      </c>
    </row>
    <row r="8" spans="1:8" ht="25.5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3">
        <v>2</v>
      </c>
      <c r="G8" s="3">
        <v>4</v>
      </c>
      <c r="H8" s="2" t="s">
        <v>45</v>
      </c>
    </row>
    <row r="9" spans="1:8" x14ac:dyDescent="0.25">
      <c r="A9" s="2" t="s">
        <v>41</v>
      </c>
      <c r="B9" s="2" t="s">
        <v>41</v>
      </c>
      <c r="C9" s="2" t="s">
        <v>46</v>
      </c>
      <c r="D9" s="2" t="s">
        <v>43</v>
      </c>
      <c r="E9" s="8">
        <v>415304</v>
      </c>
      <c r="F9" s="3">
        <v>2</v>
      </c>
      <c r="G9" s="3">
        <v>4</v>
      </c>
      <c r="H9" s="2" t="s">
        <v>47</v>
      </c>
    </row>
    <row r="10" spans="1:8" x14ac:dyDescent="0.25">
      <c r="A10" s="2" t="s">
        <v>41</v>
      </c>
      <c r="B10" s="2" t="s">
        <v>41</v>
      </c>
      <c r="C10" s="2" t="s">
        <v>48</v>
      </c>
      <c r="D10" s="2" t="s">
        <v>43</v>
      </c>
      <c r="E10" s="2" t="s">
        <v>49</v>
      </c>
      <c r="F10" s="3">
        <v>6</v>
      </c>
      <c r="G10" s="3">
        <v>12</v>
      </c>
      <c r="H10" s="2" t="s">
        <v>50</v>
      </c>
    </row>
    <row r="12" spans="1:8" x14ac:dyDescent="0.25">
      <c r="A12" s="4" t="s">
        <v>51</v>
      </c>
      <c r="F12" s="5">
        <f>SUM(F2:F10)</f>
        <v>16</v>
      </c>
      <c r="G12" s="5">
        <f>SUM(G2:G10)</f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workbookViewId="0"/>
  </sheetViews>
  <sheetFormatPr defaultColWidth="8.7109375" defaultRowHeight="15" x14ac:dyDescent="0.25"/>
  <cols>
    <col min="1" max="1" width="20" customWidth="1"/>
    <col min="2" max="2" width="88" customWidth="1"/>
  </cols>
  <sheetData>
    <row r="1" spans="1:2" x14ac:dyDescent="0.25">
      <c r="A1" s="6" t="s">
        <v>52</v>
      </c>
      <c r="B1" s="6" t="s">
        <v>53</v>
      </c>
    </row>
    <row r="2" spans="1:2" x14ac:dyDescent="0.25">
      <c r="A2" s="7" t="s">
        <v>54</v>
      </c>
      <c r="B2" s="7" t="s">
        <v>55</v>
      </c>
    </row>
    <row r="3" spans="1:2" x14ac:dyDescent="0.25">
      <c r="A3" s="7" t="s">
        <v>56</v>
      </c>
      <c r="B3" s="7" t="s">
        <v>57</v>
      </c>
    </row>
    <row r="4" spans="1:2" x14ac:dyDescent="0.25">
      <c r="A4" s="7" t="s">
        <v>58</v>
      </c>
      <c r="B4" s="7" t="s">
        <v>59</v>
      </c>
    </row>
    <row r="5" spans="1:2" x14ac:dyDescent="0.25">
      <c r="A5" s="7" t="s">
        <v>60</v>
      </c>
      <c r="B5" s="7" t="s">
        <v>61</v>
      </c>
    </row>
    <row r="6" spans="1:2" x14ac:dyDescent="0.25">
      <c r="A6" s="7" t="s">
        <v>62</v>
      </c>
      <c r="B6" s="7" t="s">
        <v>63</v>
      </c>
    </row>
    <row r="7" spans="1:2" x14ac:dyDescent="0.25">
      <c r="A7" s="7" t="s">
        <v>64</v>
      </c>
      <c r="B7" s="7" t="s">
        <v>65</v>
      </c>
    </row>
    <row r="8" spans="1:2" x14ac:dyDescent="0.25">
      <c r="A8" s="7" t="s">
        <v>66</v>
      </c>
      <c r="B8" s="7" t="s">
        <v>67</v>
      </c>
    </row>
    <row r="9" spans="1:2" x14ac:dyDescent="0.25">
      <c r="A9" s="7" t="s">
        <v>68</v>
      </c>
      <c r="B9" s="7" t="s">
        <v>69</v>
      </c>
    </row>
    <row r="10" spans="1:2" x14ac:dyDescent="0.25">
      <c r="A10" s="7" t="s">
        <v>68</v>
      </c>
      <c r="B10" s="7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Board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Assad Haick</cp:lastModifiedBy>
  <cp:revision>0</cp:revision>
  <dcterms:created xsi:type="dcterms:W3CDTF">2026-08-31T10:45:46Z</dcterms:created>
  <dcterms:modified xsi:type="dcterms:W3CDTF">2026-08-31T11:14:13Z</dcterms:modified>
  <dc:language>en-US</dc:language>
</cp:coreProperties>
</file>